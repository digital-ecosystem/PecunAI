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asse\Desktop\Projects\PecunAI-App\"/>
    </mc:Choice>
  </mc:AlternateContent>
  <xr:revisionPtr revIDLastSave="0" documentId="13_ncr:1_{2ADFCE69-868A-4DD3-81A5-5618D2914B0F}" xr6:coauthVersionLast="47" xr6:coauthVersionMax="47" xr10:uidLastSave="{00000000-0000-0000-0000-000000000000}"/>
  <bookViews>
    <workbookView xWindow="-60" yWindow="-60" windowWidth="21720" windowHeight="12900" activeTab="1" xr2:uid="{F4860C18-CEEE-40C7-92DF-59473CCC5559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2" l="1"/>
  <c r="K30" i="2"/>
  <c r="J30" i="2"/>
  <c r="I30" i="2"/>
  <c r="H30" i="2"/>
  <c r="G30" i="2"/>
  <c r="F30" i="2"/>
  <c r="E30" i="2"/>
  <c r="D30" i="2"/>
  <c r="C30" i="2"/>
  <c r="B30" i="2"/>
  <c r="L30" i="2" s="1"/>
  <c r="E6" i="2"/>
  <c r="F29" i="2"/>
  <c r="G29" i="2"/>
  <c r="B29" i="2"/>
  <c r="B6" i="2"/>
  <c r="B18" i="2"/>
  <c r="B15" i="2"/>
  <c r="B9" i="2"/>
  <c r="C24" i="2"/>
  <c r="D24" i="2"/>
  <c r="B24" i="2"/>
  <c r="C18" i="2"/>
  <c r="D18" i="2"/>
  <c r="C15" i="2"/>
  <c r="D15" i="2"/>
  <c r="D9" i="2"/>
  <c r="C9" i="2"/>
  <c r="C29" i="2"/>
  <c r="D29" i="2"/>
  <c r="E29" i="2"/>
  <c r="H29" i="2"/>
  <c r="I29" i="2"/>
  <c r="J29" i="2"/>
  <c r="K29" i="2"/>
  <c r="D6" i="2"/>
  <c r="C6" i="2"/>
  <c r="D21" i="2"/>
  <c r="C21" i="2"/>
  <c r="B21" i="2"/>
  <c r="C38" i="2"/>
  <c r="C11" i="1"/>
  <c r="L29" i="2" l="1"/>
</calcChain>
</file>

<file path=xl/sharedStrings.xml><?xml version="1.0" encoding="utf-8"?>
<sst xmlns="http://schemas.openxmlformats.org/spreadsheetml/2006/main" count="110" uniqueCount="37">
  <si>
    <t>Vermögensverwaltungsgebühr p.a. (Asset Management by froots GmbH)</t>
  </si>
  <si>
    <t>Beratungshonorar p.a. (Servicegebühr 4money)</t>
  </si>
  <si>
    <t>Produktkosten p.a.</t>
  </si>
  <si>
    <t>Disclaimer</t>
  </si>
  <si>
    <t>mindestens €24,- max. €360,-</t>
  </si>
  <si>
    <t>%</t>
  </si>
  <si>
    <t>€</t>
  </si>
  <si>
    <t>x (berechnen)</t>
  </si>
  <si>
    <t>Kosten laufend gesamt</t>
  </si>
  <si>
    <t>Annahme: weniger als 50 Transaktionen pro Jahr auf Grund vergangener Erfahrungswerte</t>
  </si>
  <si>
    <t>Annahme auf Grund vergangener Erfahrungswerte</t>
  </si>
  <si>
    <t>vl. Darüber? Wegen Darstellung</t>
  </si>
  <si>
    <t>€ Betrag auf durchschnittlich veranlagtes Volumen (jährliches Sparvolumen x Laufzeit /2) + einmalig veranlagtes Volumen</t>
  </si>
  <si>
    <t>Depotgebühr (die Plattform) p.a.</t>
  </si>
  <si>
    <t>Vermögensverwaltungsabwicklungsgebühr (die Plattform) p.a.</t>
  </si>
  <si>
    <t>Verrechnungskontogebühr (die Plattform) p.a.</t>
  </si>
  <si>
    <t>€ Jahr1</t>
  </si>
  <si>
    <t>€ Jahr2</t>
  </si>
  <si>
    <t>€Jahr 10</t>
  </si>
  <si>
    <t>durschnitt</t>
  </si>
  <si>
    <t>Liquidität RAUS</t>
  </si>
  <si>
    <t>Laufende Gebühr für die Verwaltung des Portfolios.</t>
  </si>
  <si>
    <t>Laufende Gebühr für das zur Verfügung stellen von qualifizierten Vor-Ort Beratern. Weiters erhält der Kunde die Möglichkeit die Geeignetheit der vermittelten Veranlagungsstrategie sowie Portfoliostruktur, auf Initiative des Kunden, ein Mal pro Jahr überprüfen zu lassen.</t>
  </si>
  <si>
    <t>Laufende Kosten der in der Portfolioverwaltung enthaltenen Wertpapiere (zB. ETFs oder Investmentfonds)</t>
  </si>
  <si>
    <t>Transaktionskosten p.a. (die Plattform)</t>
  </si>
  <si>
    <t>Annahme: Weniger als 50 Transaktionen pro Jahr auf Grund vergangener Erfahrungswerte.</t>
  </si>
  <si>
    <t>Annahme auf Grund vergangener Erfahrungswerte.</t>
  </si>
  <si>
    <t>Abwicklungsgebühr seitens der depotführenden Lagerstelle die Plattform im Rahmen der Portfolioverwaltung</t>
  </si>
  <si>
    <t>Kontoführungsgebühr für das Verrechnungskonto bei der depotführenden Lagerstelle die Plattform</t>
  </si>
  <si>
    <t>Spesen der depotführenden Lagerstelle die Plattform für die Durchführung von Transaktionen</t>
  </si>
  <si>
    <t>Gebühr für Verwahrung/Depotführung bei der depotführenden Lagerstelle die Plattform</t>
  </si>
  <si>
    <t>Einmalerlag</t>
  </si>
  <si>
    <t>Sparplan</t>
  </si>
  <si>
    <t>mtl</t>
  </si>
  <si>
    <t>durchschnitt</t>
  </si>
  <si>
    <t>Jahr</t>
  </si>
  <si>
    <t>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</si>
</sst>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;[Red]\-&quot;€&quot;\ #,##0.00"/>
    <numFmt numFmtId="165" formatCode="_-&quot;€&quot;\ * #,##0.00_-;\-&quot;€&quot;\ * #,##0.00_-;_-&quot;€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7">
    <xf numFmtId="0" fontId="0" fillId="0" borderId="0" xfId="0"/>
    <xf numFmtId="10" fontId="0" fillId="0" borderId="0" xfId="0" applyNumberFormat="1"/>
    <xf numFmtId="165" fontId="0" fillId="0" borderId="0" xfId="1" applyFont="1"/>
    <xf numFmtId="164" fontId="0" fillId="0" borderId="0" xfId="0" applyNumberFormat="1"/>
    <xf numFmtId="0" fontId="2" fillId="0" borderId="0" xfId="0" applyFont="1"/>
    <xf numFmtId="165" fontId="0" fillId="0" borderId="0" xfId="0" applyNumberFormat="1"/>
    <xf numFmtId="0" fontId="2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F1A40-0F5F-428F-B15A-B2FF6037242D}">
  <dimension ref="A1:F30"/>
  <sheetViews>
    <sheetView zoomScale="95" zoomScaleNormal="160" workbookViewId="0">
      <selection activeCell="D1" sqref="D1"/>
    </sheetView>
  </sheetViews>
  <sheetFormatPr defaultColWidth="10.6640625" defaultRowHeight="14.25" x14ac:dyDescent="0.45"/>
  <cols>
    <col min="1" max="1" width="59" bestFit="1" customWidth="1"/>
  </cols>
  <sheetData>
    <row r="1" spans="1:6" x14ac:dyDescent="0.45">
      <c r="C1" t="s">
        <v>12</v>
      </c>
    </row>
    <row r="4" spans="1:6" x14ac:dyDescent="0.45">
      <c r="B4" t="s">
        <v>5</v>
      </c>
      <c r="C4" t="s">
        <v>6</v>
      </c>
    </row>
    <row r="5" spans="1:6" x14ac:dyDescent="0.45">
      <c r="A5" t="s">
        <v>0</v>
      </c>
      <c r="B5" s="1">
        <v>3.8999999999999998E-3</v>
      </c>
      <c r="C5" t="s">
        <v>7</v>
      </c>
    </row>
    <row r="6" spans="1:6" x14ac:dyDescent="0.45">
      <c r="A6" t="s">
        <v>1</v>
      </c>
      <c r="B6" s="1">
        <v>1.11E-2</v>
      </c>
      <c r="C6" t="s">
        <v>7</v>
      </c>
    </row>
    <row r="7" spans="1:6" x14ac:dyDescent="0.45">
      <c r="A7" t="s">
        <v>2</v>
      </c>
      <c r="B7" s="1">
        <v>1.6999999999999999E-3</v>
      </c>
      <c r="C7" t="s">
        <v>7</v>
      </c>
      <c r="D7" t="s">
        <v>3</v>
      </c>
      <c r="F7" t="s">
        <v>10</v>
      </c>
    </row>
    <row r="8" spans="1:6" x14ac:dyDescent="0.45">
      <c r="A8" t="s">
        <v>24</v>
      </c>
      <c r="B8" s="1">
        <v>0</v>
      </c>
      <c r="C8" t="s">
        <v>7</v>
      </c>
      <c r="D8" t="s">
        <v>3</v>
      </c>
      <c r="F8" t="s">
        <v>9</v>
      </c>
    </row>
    <row r="9" spans="1:6" x14ac:dyDescent="0.45">
      <c r="A9" t="s">
        <v>13</v>
      </c>
      <c r="B9" s="1">
        <v>2.3999999999999998E-3</v>
      </c>
      <c r="C9" t="s">
        <v>7</v>
      </c>
    </row>
    <row r="10" spans="1:6" x14ac:dyDescent="0.45">
      <c r="A10" t="s">
        <v>14</v>
      </c>
      <c r="B10" s="1">
        <v>1.4400000000000001E-3</v>
      </c>
      <c r="C10" t="s">
        <v>7</v>
      </c>
      <c r="D10" t="s">
        <v>3</v>
      </c>
      <c r="F10" s="4" t="s">
        <v>4</v>
      </c>
    </row>
    <row r="11" spans="1:6" x14ac:dyDescent="0.45">
      <c r="A11" t="s">
        <v>15</v>
      </c>
      <c r="B11" t="s">
        <v>7</v>
      </c>
      <c r="C11" s="2">
        <f>5.2*4</f>
        <v>20.8</v>
      </c>
    </row>
    <row r="13" spans="1:6" x14ac:dyDescent="0.45">
      <c r="A13" t="s">
        <v>8</v>
      </c>
      <c r="B13" t="s">
        <v>7</v>
      </c>
      <c r="C13" t="s">
        <v>7</v>
      </c>
    </row>
    <row r="15" spans="1:6" x14ac:dyDescent="0.45">
      <c r="A15" t="s">
        <v>11</v>
      </c>
    </row>
    <row r="18" spans="1:2" x14ac:dyDescent="0.45">
      <c r="A18" t="s">
        <v>20</v>
      </c>
    </row>
    <row r="20" spans="1:2" x14ac:dyDescent="0.45">
      <c r="B20" s="1"/>
    </row>
    <row r="21" spans="1:2" x14ac:dyDescent="0.45">
      <c r="A21" t="s">
        <v>0</v>
      </c>
      <c r="B21" t="s">
        <v>21</v>
      </c>
    </row>
    <row r="22" spans="1:2" x14ac:dyDescent="0.45">
      <c r="A22" t="s">
        <v>1</v>
      </c>
      <c r="B22" s="3" t="s">
        <v>22</v>
      </c>
    </row>
    <row r="23" spans="1:2" x14ac:dyDescent="0.45">
      <c r="A23" t="s">
        <v>2</v>
      </c>
      <c r="B23" t="s">
        <v>23</v>
      </c>
    </row>
    <row r="24" spans="1:2" x14ac:dyDescent="0.45">
      <c r="B24" s="4" t="s">
        <v>26</v>
      </c>
    </row>
    <row r="25" spans="1:2" x14ac:dyDescent="0.45">
      <c r="A25" t="s">
        <v>24</v>
      </c>
      <c r="B25" t="s">
        <v>29</v>
      </c>
    </row>
    <row r="26" spans="1:2" x14ac:dyDescent="0.45">
      <c r="B26" s="4" t="s">
        <v>25</v>
      </c>
    </row>
    <row r="27" spans="1:2" x14ac:dyDescent="0.45">
      <c r="A27" t="s">
        <v>13</v>
      </c>
      <c r="B27" s="3" t="s">
        <v>30</v>
      </c>
    </row>
    <row r="28" spans="1:2" x14ac:dyDescent="0.45">
      <c r="A28" t="s">
        <v>14</v>
      </c>
      <c r="B28" t="s">
        <v>27</v>
      </c>
    </row>
    <row r="29" spans="1:2" x14ac:dyDescent="0.45">
      <c r="B29" s="4" t="s">
        <v>4</v>
      </c>
    </row>
    <row r="30" spans="1:2" x14ac:dyDescent="0.45">
      <c r="A30" t="s">
        <v>15</v>
      </c>
      <c r="B30" t="s">
        <v>28</v>
      </c>
    </row>
  </sheetData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174E7-8FA4-4BDE-8DD1-E7637FAB4115}">
  <dimension ref="A1:L40"/>
  <sheetViews>
    <sheetView tabSelected="1" zoomScale="98" zoomScaleNormal="98" workbookViewId="0">
      <selection activeCell="E24" sqref="E24"/>
    </sheetView>
  </sheetViews>
  <sheetFormatPr defaultColWidth="10.6640625" defaultRowHeight="14.25" x14ac:dyDescent="0.45"/>
  <cols>
    <col min="1" max="1" width="62.19921875" bestFit="1" customWidth="1"/>
    <col min="3" max="3" width="12.53125" bestFit="1" customWidth="1"/>
  </cols>
  <sheetData>
    <row r="1" spans="1:7" x14ac:dyDescent="0.45">
      <c r="A1" s="4" t="s">
        <v>31</v>
      </c>
      <c r="B1" s="2">
        <v>5000</v>
      </c>
    </row>
    <row r="2" spans="1:7" x14ac:dyDescent="0.45">
      <c r="A2" s="4" t="s">
        <v>32</v>
      </c>
      <c r="B2" s="2">
        <v>250</v>
      </c>
      <c r="C2" t="s">
        <v>33</v>
      </c>
    </row>
    <row r="4" spans="1:7" x14ac:dyDescent="0.45">
      <c r="A4" s="6" t="s">
        <v>1</v>
      </c>
      <c r="B4" s="6"/>
    </row>
    <row r="5" spans="1:7" x14ac:dyDescent="0.45">
      <c r="A5" t="s">
        <v>5</v>
      </c>
      <c r="B5" s="1" t="s">
        <v>16</v>
      </c>
      <c r="C5" t="s">
        <v>17</v>
      </c>
      <c r="D5" t="s">
        <v>18</v>
      </c>
      <c r="E5" t="s">
        <v>19</v>
      </c>
    </row>
    <row r="6" spans="1:7" x14ac:dyDescent="0.45">
      <c r="A6" s="1">
        <v>1.11E-2</v>
      </c>
      <c r="B6" s="5">
        <f>($B$1+B2*12*1)*A6</f>
        <v>88.8</v>
      </c>
      <c r="C6" s="5">
        <f>($B$1+$B$2*12*2)*$A$6</f>
        <v>122.10000000000001</v>
      </c>
      <c r="D6" s="5">
        <f>($B$1+$B$2*12*10)*$A$6</f>
        <v>388.5</v>
      </c>
      <c r="E6" s="5">
        <f>($B$1+B2*12*5.5)*A6</f>
        <v>238.65</v>
      </c>
    </row>
    <row r="7" spans="1:7" x14ac:dyDescent="0.45">
      <c r="A7" s="6" t="s">
        <v>2</v>
      </c>
      <c r="B7" s="6"/>
      <c r="G7" t="s">
        <v>10</v>
      </c>
    </row>
    <row r="8" spans="1:7" x14ac:dyDescent="0.45">
      <c r="A8" t="s">
        <v>5</v>
      </c>
      <c r="B8" s="1" t="s">
        <v>16</v>
      </c>
      <c r="C8" t="s">
        <v>17</v>
      </c>
      <c r="D8" t="s">
        <v>18</v>
      </c>
      <c r="E8" t="s">
        <v>19</v>
      </c>
    </row>
    <row r="9" spans="1:7" x14ac:dyDescent="0.45">
      <c r="A9" s="1">
        <v>1.6999999999999999E-3</v>
      </c>
      <c r="B9" s="5">
        <f>($B$1+12*$B$2*B28)*$A$9</f>
        <v>13.6</v>
      </c>
      <c r="C9" s="5">
        <f>($B$1+12*$B$2*C28)*$A$9</f>
        <v>18.7</v>
      </c>
      <c r="D9" s="5">
        <f>($B$1+12*$B$2*K28)*$A$9</f>
        <v>59.5</v>
      </c>
      <c r="E9">
        <v>36.549999999999997</v>
      </c>
    </row>
    <row r="10" spans="1:7" x14ac:dyDescent="0.45">
      <c r="A10" s="6" t="s">
        <v>24</v>
      </c>
      <c r="B10" s="6"/>
      <c r="G10" t="s">
        <v>9</v>
      </c>
    </row>
    <row r="11" spans="1:7" x14ac:dyDescent="0.45">
      <c r="A11" t="s">
        <v>5</v>
      </c>
      <c r="B11" s="1" t="s">
        <v>16</v>
      </c>
      <c r="C11" t="s">
        <v>17</v>
      </c>
      <c r="D11" t="s">
        <v>18</v>
      </c>
      <c r="E11" t="s">
        <v>19</v>
      </c>
    </row>
    <row r="12" spans="1:7" x14ac:dyDescent="0.45">
      <c r="A12" s="1">
        <v>0</v>
      </c>
      <c r="B12">
        <v>0</v>
      </c>
      <c r="C12">
        <v>0</v>
      </c>
      <c r="D12">
        <v>0</v>
      </c>
      <c r="E12">
        <v>0</v>
      </c>
    </row>
    <row r="13" spans="1:7" x14ac:dyDescent="0.45">
      <c r="A13" s="6" t="s">
        <v>13</v>
      </c>
      <c r="B13" s="6"/>
    </row>
    <row r="14" spans="1:7" x14ac:dyDescent="0.45">
      <c r="A14" t="s">
        <v>5</v>
      </c>
      <c r="B14" s="1" t="s">
        <v>16</v>
      </c>
      <c r="C14" t="s">
        <v>17</v>
      </c>
      <c r="D14" t="s">
        <v>18</v>
      </c>
      <c r="E14" t="s">
        <v>19</v>
      </c>
    </row>
    <row r="15" spans="1:7" x14ac:dyDescent="0.45">
      <c r="A15" s="1">
        <v>2.3999999999999998E-3</v>
      </c>
      <c r="B15" s="5">
        <f>($B$1+12*$B$2*B28)*$A$15</f>
        <v>19.2</v>
      </c>
      <c r="C15" s="5">
        <f t="shared" ref="C15:D15" si="0">($B$1+12*$B$2*C28)*$A$15</f>
        <v>26.4</v>
      </c>
      <c r="D15" s="5">
        <f t="shared" si="0"/>
        <v>33.599999999999994</v>
      </c>
      <c r="E15">
        <v>51.6</v>
      </c>
    </row>
    <row r="16" spans="1:7" x14ac:dyDescent="0.45">
      <c r="A16" s="6" t="s">
        <v>14</v>
      </c>
      <c r="B16" s="6"/>
    </row>
    <row r="17" spans="1:12" x14ac:dyDescent="0.45">
      <c r="A17" t="s">
        <v>5</v>
      </c>
      <c r="B17" s="1" t="s">
        <v>16</v>
      </c>
      <c r="C17" t="s">
        <v>17</v>
      </c>
      <c r="D17" t="s">
        <v>18</v>
      </c>
      <c r="E17" t="s">
        <v>19</v>
      </c>
      <c r="G17" s="4" t="s">
        <v>4</v>
      </c>
    </row>
    <row r="18" spans="1:12" x14ac:dyDescent="0.45">
      <c r="A18" s="1">
        <v>1.4E-3</v>
      </c>
      <c r="B18" s="5">
        <f>($B$1+12*$B$2*B28)*$A$18</f>
        <v>11.2</v>
      </c>
      <c r="C18" s="5">
        <f t="shared" ref="C18:D18" si="1">($B$1+12*$B$2*C28)*$A$18</f>
        <v>15.4</v>
      </c>
      <c r="D18" s="5">
        <f t="shared" si="1"/>
        <v>19.600000000000001</v>
      </c>
    </row>
    <row r="19" spans="1:12" x14ac:dyDescent="0.45">
      <c r="A19" s="1"/>
      <c r="B19" s="5">
        <v>24</v>
      </c>
      <c r="C19" s="5">
        <v>24</v>
      </c>
      <c r="D19" s="5">
        <v>24</v>
      </c>
      <c r="E19" s="5">
        <v>24</v>
      </c>
    </row>
    <row r="20" spans="1:12" x14ac:dyDescent="0.45">
      <c r="A20" s="6" t="s">
        <v>15</v>
      </c>
      <c r="B20" s="6"/>
      <c r="C20" s="2"/>
    </row>
    <row r="21" spans="1:12" x14ac:dyDescent="0.45">
      <c r="B21" s="2">
        <f>5.2*4</f>
        <v>20.8</v>
      </c>
      <c r="C21" s="2">
        <f>5.2*4</f>
        <v>20.8</v>
      </c>
      <c r="D21" s="2">
        <f>5.2*4</f>
        <v>20.8</v>
      </c>
      <c r="E21" s="3">
        <v>20.8</v>
      </c>
    </row>
    <row r="22" spans="1:12" x14ac:dyDescent="0.45">
      <c r="A22" s="1"/>
    </row>
    <row r="23" spans="1:12" x14ac:dyDescent="0.45">
      <c r="A23" s="1" t="s">
        <v>36</v>
      </c>
      <c r="B23" s="1" t="s">
        <v>16</v>
      </c>
      <c r="C23" t="s">
        <v>17</v>
      </c>
      <c r="D23" t="s">
        <v>18</v>
      </c>
      <c r="E23" t="s">
        <v>19</v>
      </c>
    </row>
    <row r="24" spans="1:12" x14ac:dyDescent="0.45">
      <c r="A24" s="1"/>
      <c r="B24" s="5">
        <f>B6+B9+B12+B15+B19+B21</f>
        <v>166.4</v>
      </c>
      <c r="C24" s="5">
        <f t="shared" ref="C24:E24" si="2">C6+C9+C12+C15+C19+C21</f>
        <v>212.00000000000003</v>
      </c>
      <c r="D24" s="5">
        <f t="shared" si="2"/>
        <v>526.4</v>
      </c>
      <c r="E24" s="5">
        <f>E6+E9+E12+E15+E19+E21</f>
        <v>371.6</v>
      </c>
    </row>
    <row r="25" spans="1:12" x14ac:dyDescent="0.45">
      <c r="A25" s="1"/>
    </row>
    <row r="26" spans="1:12" x14ac:dyDescent="0.45">
      <c r="A26" s="1"/>
    </row>
    <row r="27" spans="1:12" x14ac:dyDescent="0.45">
      <c r="A27" s="1"/>
      <c r="B27" t="s">
        <v>35</v>
      </c>
    </row>
    <row r="28" spans="1:12" x14ac:dyDescent="0.45">
      <c r="A28" s="1"/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 t="s">
        <v>34</v>
      </c>
    </row>
    <row r="29" spans="1:12" x14ac:dyDescent="0.45">
      <c r="A29" s="1">
        <v>2.3999999999999998E-3</v>
      </c>
      <c r="B29" s="5">
        <f>($B$1+$B$2*12*B28)*$A$29</f>
        <v>19.2</v>
      </c>
      <c r="C29" s="5">
        <f t="shared" ref="C29:K30" si="3">($B$1+$B$2*12*C28)*$A$29</f>
        <v>26.4</v>
      </c>
      <c r="D29" s="5">
        <f t="shared" si="3"/>
        <v>33.599999999999994</v>
      </c>
      <c r="E29" s="5">
        <f t="shared" si="3"/>
        <v>40.799999999999997</v>
      </c>
      <c r="F29" s="5">
        <f>($B$1+$B$2*12*F28)*$A$29</f>
        <v>47.999999999999993</v>
      </c>
      <c r="G29" s="5">
        <f>($B$1+$B$2*12*G28)*$A$29</f>
        <v>55.199999999999996</v>
      </c>
      <c r="H29" s="5">
        <f t="shared" si="3"/>
        <v>62.399999999999991</v>
      </c>
      <c r="I29" s="5">
        <f t="shared" si="3"/>
        <v>69.599999999999994</v>
      </c>
      <c r="J29" s="5">
        <f t="shared" si="3"/>
        <v>76.8</v>
      </c>
      <c r="K29" s="5">
        <f t="shared" si="3"/>
        <v>83.999999999999986</v>
      </c>
      <c r="L29" s="5">
        <f>SUM(B29:K29)/10</f>
        <v>51.599999999999987</v>
      </c>
    </row>
    <row r="30" spans="1:12" x14ac:dyDescent="0.45">
      <c r="A30" s="1">
        <v>2.3999999999999998E-3</v>
      </c>
      <c r="B30" s="5">
        <f>($B$1+$B$2*12*B29)*$A$29</f>
        <v>150.23999999999998</v>
      </c>
      <c r="C30" s="5">
        <f t="shared" si="3"/>
        <v>202.07999999999998</v>
      </c>
      <c r="D30" s="5">
        <f t="shared" si="3"/>
        <v>253.91999999999993</v>
      </c>
      <c r="E30" s="5">
        <f t="shared" si="3"/>
        <v>305.75999999999993</v>
      </c>
      <c r="F30" s="5">
        <f>($B$1+$B$2*12*F29)*$A$29</f>
        <v>357.59999999999991</v>
      </c>
      <c r="G30" s="5">
        <f>($B$1+$B$2*12*G29)*$A$29</f>
        <v>409.43999999999994</v>
      </c>
      <c r="H30" s="5">
        <f t="shared" si="3"/>
        <v>461.27999999999992</v>
      </c>
      <c r="I30" s="5">
        <f t="shared" si="3"/>
        <v>513.11999999999989</v>
      </c>
      <c r="J30" s="5">
        <f t="shared" si="3"/>
        <v>564.95999999999992</v>
      </c>
      <c r="K30" s="5">
        <f t="shared" si="3"/>
        <v>616.79999999999984</v>
      </c>
      <c r="L30" s="5">
        <f>SUM(B30:K30)/10</f>
        <v>383.51999999999987</v>
      </c>
    </row>
    <row r="31" spans="1:12" x14ac:dyDescent="0.45">
      <c r="A31" s="1"/>
    </row>
    <row r="32" spans="1:12" x14ac:dyDescent="0.45">
      <c r="A32" s="1"/>
    </row>
    <row r="33" spans="1:6" x14ac:dyDescent="0.45">
      <c r="A33" t="s">
        <v>1</v>
      </c>
      <c r="B33" s="1">
        <v>1.11E-2</v>
      </c>
      <c r="C33" t="s">
        <v>7</v>
      </c>
    </row>
    <row r="34" spans="1:6" x14ac:dyDescent="0.45">
      <c r="A34" t="s">
        <v>2</v>
      </c>
      <c r="B34" s="1">
        <v>1.6999999999999999E-3</v>
      </c>
      <c r="C34" t="s">
        <v>7</v>
      </c>
      <c r="D34" t="s">
        <v>3</v>
      </c>
      <c r="F34" t="s">
        <v>10</v>
      </c>
    </row>
    <row r="35" spans="1:6" x14ac:dyDescent="0.45">
      <c r="A35" t="s">
        <v>24</v>
      </c>
      <c r="B35" s="1">
        <v>0</v>
      </c>
      <c r="C35" t="s">
        <v>7</v>
      </c>
      <c r="D35" t="s">
        <v>3</v>
      </c>
      <c r="F35" t="s">
        <v>9</v>
      </c>
    </row>
    <row r="36" spans="1:6" x14ac:dyDescent="0.45">
      <c r="A36" t="s">
        <v>13</v>
      </c>
      <c r="B36" s="1">
        <v>2.3999999999999998E-3</v>
      </c>
      <c r="C36" t="s">
        <v>7</v>
      </c>
    </row>
    <row r="37" spans="1:6" x14ac:dyDescent="0.45">
      <c r="A37" t="s">
        <v>14</v>
      </c>
      <c r="B37" s="1">
        <v>1.4400000000000001E-3</v>
      </c>
      <c r="C37" t="s">
        <v>7</v>
      </c>
      <c r="D37" t="s">
        <v>3</v>
      </c>
      <c r="F37" s="4" t="s">
        <v>4</v>
      </c>
    </row>
    <row r="38" spans="1:6" x14ac:dyDescent="0.45">
      <c r="A38" t="s">
        <v>15</v>
      </c>
      <c r="B38" t="s">
        <v>7</v>
      </c>
      <c r="C38" s="2">
        <f>5.2*4</f>
        <v>20.8</v>
      </c>
    </row>
    <row r="40" spans="1:6" x14ac:dyDescent="0.45">
      <c r="A40" t="s">
        <v>8</v>
      </c>
      <c r="B40" t="s">
        <v>7</v>
      </c>
      <c r="C40" t="s">
        <v>7</v>
      </c>
    </row>
  </sheetData>
  <mergeCells count="6">
    <mergeCell ref="A16:B16"/>
    <mergeCell ref="A20:B20"/>
    <mergeCell ref="A4:B4"/>
    <mergeCell ref="A7:B7"/>
    <mergeCell ref="A10:B10"/>
    <mergeCell ref="A13:B1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Bracic</dc:creator>
  <cp:lastModifiedBy>Basem Mahdi</cp:lastModifiedBy>
  <dcterms:created xsi:type="dcterms:W3CDTF">2026-03-10T13:48:31Z</dcterms:created>
  <dcterms:modified xsi:type="dcterms:W3CDTF">2026-03-16T22:01:04Z</dcterms:modified>
</cp:coreProperties>
</file>